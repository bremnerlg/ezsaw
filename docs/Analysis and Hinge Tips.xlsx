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sharedStrings.xml" ContentType="application/vnd.openxmlformats-officedocument.spreadsheetml.sharedString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olors6.xml" ContentType="application/vnd.ms-office.chartcolorstyl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ane\Desktop\"/>
    </mc:Choice>
  </mc:AlternateContent>
  <xr:revisionPtr revIDLastSave="0" documentId="13_ncr:1_{61BD1AE4-8BC7-4A0F-8E95-15B17498FB69}" xr6:coauthVersionLast="47" xr6:coauthVersionMax="47" xr10:uidLastSave="{00000000-0000-0000-0000-000000000000}"/>
  <bookViews>
    <workbookView xWindow="-98" yWindow="-98" windowWidth="28996" windowHeight="15796" xr2:uid="{4477BA38-4D0F-4E6D-B54D-B32A5FE5C395}"/>
  </bookViews>
  <sheets>
    <sheet name="250 Analysis" sheetId="3" r:id="rId1"/>
    <sheet name="270" sheetId="1" r:id="rId2"/>
    <sheet name="Nominal Hinge Tip Angl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C35" i="3"/>
  <c r="C24" i="3"/>
  <c r="C23" i="3"/>
  <c r="C17" i="3"/>
  <c r="C16" i="3"/>
  <c r="C14" i="3"/>
  <c r="C13" i="3"/>
  <c r="E48" i="3"/>
  <c r="F48" i="3"/>
  <c r="G48" i="3"/>
  <c r="D48" i="3"/>
  <c r="D43" i="3"/>
  <c r="D41" i="3"/>
  <c r="E43" i="3"/>
  <c r="F43" i="3"/>
  <c r="G43" i="3"/>
  <c r="E42" i="3"/>
  <c r="F42" i="3"/>
  <c r="G42" i="3"/>
  <c r="D42" i="3"/>
  <c r="E41" i="3"/>
  <c r="F41" i="3"/>
  <c r="G41" i="3"/>
  <c r="E38" i="3"/>
  <c r="F38" i="3"/>
  <c r="C38" i="3" s="1"/>
  <c r="G38" i="3"/>
  <c r="D38" i="3"/>
  <c r="J30" i="2"/>
  <c r="I28" i="2"/>
  <c r="I27" i="2"/>
  <c r="J31" i="2" s="1"/>
  <c r="I26" i="2"/>
  <c r="I12" i="2"/>
  <c r="I11" i="2"/>
  <c r="J15" i="2" s="1"/>
  <c r="I10" i="2"/>
  <c r="J14" i="2" s="1"/>
  <c r="F28" i="2"/>
  <c r="F27" i="2"/>
  <c r="G31" i="2" s="1"/>
  <c r="F26" i="2"/>
  <c r="G30" i="2" s="1"/>
  <c r="F12" i="2"/>
  <c r="F11" i="2"/>
  <c r="F10" i="2"/>
  <c r="G14" i="2" s="1"/>
  <c r="D31" i="2"/>
  <c r="C31" i="2"/>
  <c r="D30" i="2"/>
  <c r="C30" i="2"/>
  <c r="C28" i="2"/>
  <c r="C27" i="2"/>
  <c r="C26" i="2"/>
  <c r="C11" i="2"/>
  <c r="D15" i="2" s="1"/>
  <c r="C12" i="2"/>
  <c r="C10" i="2"/>
  <c r="D14" i="2" s="1"/>
  <c r="I4" i="1"/>
  <c r="I30" i="2" l="1"/>
  <c r="I14" i="2"/>
  <c r="I15" i="2"/>
  <c r="I31" i="2"/>
  <c r="F15" i="2"/>
  <c r="G15" i="2"/>
  <c r="F14" i="2"/>
  <c r="F30" i="2"/>
  <c r="F31" i="2"/>
  <c r="C15" i="2"/>
  <c r="C14" i="2"/>
</calcChain>
</file>

<file path=xl/sharedStrings.xml><?xml version="1.0" encoding="utf-8"?>
<sst xmlns="http://schemas.openxmlformats.org/spreadsheetml/2006/main" count="85" uniqueCount="47">
  <si>
    <t>Front Right</t>
  </si>
  <si>
    <t>Front Left</t>
  </si>
  <si>
    <t>Rear Right</t>
  </si>
  <si>
    <t>Rear Left</t>
  </si>
  <si>
    <t>Energy</t>
  </si>
  <si>
    <t>Speed</t>
  </si>
  <si>
    <t>J</t>
  </si>
  <si>
    <t>m/s</t>
  </si>
  <si>
    <t>Force</t>
  </si>
  <si>
    <t>N</t>
  </si>
  <si>
    <t>Spring</t>
  </si>
  <si>
    <t>Angle X</t>
  </si>
  <si>
    <t>Angle Y</t>
  </si>
  <si>
    <t>-R , +F</t>
  </si>
  <si>
    <t>-I, +O</t>
  </si>
  <si>
    <t>Front</t>
  </si>
  <si>
    <t>Top</t>
  </si>
  <si>
    <t>Bottom</t>
  </si>
  <si>
    <t>Model</t>
  </si>
  <si>
    <t>Delta</t>
  </si>
  <si>
    <t>RX</t>
  </si>
  <si>
    <t>RY</t>
  </si>
  <si>
    <t>Rear</t>
  </si>
  <si>
    <t>friction full</t>
  </si>
  <si>
    <t>Friction 1str</t>
  </si>
  <si>
    <t>Angle</t>
  </si>
  <si>
    <t>Hinge X</t>
  </si>
  <si>
    <t>Hinge Y</t>
  </si>
  <si>
    <t>Friction</t>
  </si>
  <si>
    <t>Static</t>
  </si>
  <si>
    <t>Right</t>
  </si>
  <si>
    <t>Left</t>
  </si>
  <si>
    <t>Energy Check</t>
  </si>
  <si>
    <t>Test Type</t>
  </si>
  <si>
    <t>1st Stop</t>
  </si>
  <si>
    <t>Full Open</t>
  </si>
  <si>
    <t>Open Cabin</t>
  </si>
  <si>
    <t>No CheckStrap</t>
  </si>
  <si>
    <t>Cabin Savings</t>
  </si>
  <si>
    <t>Total Angle (X+Y)</t>
  </si>
  <si>
    <t>Legend</t>
  </si>
  <si>
    <t>Metric</t>
  </si>
  <si>
    <t>Calculated</t>
  </si>
  <si>
    <t>Nominals</t>
  </si>
  <si>
    <t>NEW SAMPLE</t>
  </si>
  <si>
    <t>(red diamond)</t>
  </si>
  <si>
    <t>Reference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</si>
</sst>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4" borderId="0" applyNumberFormat="0" applyBorder="0" applyAlignment="0" applyProtection="0"/>
  </cellStyleXfs>
  <cellXfs count="56">
    <xf numFmtId="0" fontId="0" fillId="0" borderId="0" xfId="0"/>
    <xf numFmtId="0" fontId="0" fillId="0" borderId="0" xfId="0" quotePrefix="1"/>
    <xf numFmtId="0" fontId="1" fillId="0" borderId="0" xfId="0" applyFont="1"/>
    <xf numFmtId="0" fontId="1" fillId="3" borderId="0" xfId="0" applyFont="1" applyFill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1" fillId="3" borderId="2" xfId="0" applyFont="1" applyFill="1" applyBorder="1"/>
    <xf numFmtId="0" fontId="1" fillId="3" borderId="6" xfId="0" applyFont="1" applyFill="1" applyBorder="1"/>
    <xf numFmtId="164" fontId="0" fillId="2" borderId="7" xfId="0" applyNumberFormat="1" applyFill="1" applyBorder="1"/>
    <xf numFmtId="0" fontId="0" fillId="0" borderId="8" xfId="0" applyBorder="1"/>
    <xf numFmtId="164" fontId="0" fillId="0" borderId="7" xfId="0" applyNumberFormat="1" applyBorder="1"/>
    <xf numFmtId="164" fontId="0" fillId="2" borderId="9" xfId="0" applyNumberFormat="1" applyFill="1" applyBorder="1"/>
    <xf numFmtId="0" fontId="0" fillId="0" borderId="10" xfId="0" applyBorder="1"/>
    <xf numFmtId="0" fontId="0" fillId="0" borderId="7" xfId="0" applyBorder="1"/>
    <xf numFmtId="0" fontId="1" fillId="0" borderId="1" xfId="0" applyFont="1" applyBorder="1"/>
    <xf numFmtId="2" fontId="1" fillId="3" borderId="2" xfId="0" applyNumberFormat="1" applyFont="1" applyFill="1" applyBorder="1"/>
    <xf numFmtId="2" fontId="1" fillId="3" borderId="4" xfId="0" applyNumberFormat="1" applyFont="1" applyFill="1" applyBorder="1"/>
    <xf numFmtId="0" fontId="1" fillId="3" borderId="11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4" borderId="12" xfId="1" applyBorder="1" applyAlignment="1">
      <alignment horizontal="center"/>
    </xf>
    <xf numFmtId="0" fontId="2" fillId="4" borderId="13" xfId="1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13" xfId="0" applyBorder="1"/>
    <xf numFmtId="0" fontId="2" fillId="4" borderId="14" xfId="1" applyBorder="1" applyAlignment="1">
      <alignment horizontal="center"/>
    </xf>
    <xf numFmtId="0" fontId="2" fillId="4" borderId="15" xfId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2" fontId="1" fillId="5" borderId="17" xfId="0" applyNumberFormat="1" applyFont="1" applyFill="1" applyBorder="1" applyAlignment="1">
      <alignment horizontal="center"/>
    </xf>
    <xf numFmtId="0" fontId="2" fillId="6" borderId="2" xfId="1" applyFill="1" applyBorder="1"/>
    <xf numFmtId="0" fontId="2" fillId="6" borderId="6" xfId="1" applyFill="1" applyBorder="1"/>
    <xf numFmtId="0" fontId="2" fillId="6" borderId="7" xfId="1" applyFill="1" applyBorder="1"/>
    <xf numFmtId="0" fontId="2" fillId="6" borderId="8" xfId="1" applyFill="1" applyBorder="1"/>
    <xf numFmtId="0" fontId="1" fillId="6" borderId="7" xfId="0" applyFont="1" applyFill="1" applyBorder="1"/>
    <xf numFmtId="0" fontId="1" fillId="6" borderId="8" xfId="0" applyFont="1" applyFill="1" applyBorder="1"/>
    <xf numFmtId="0" fontId="3" fillId="5" borderId="16" xfId="1" applyFont="1" applyFill="1" applyBorder="1" applyAlignment="1">
      <alignment horizontal="center"/>
    </xf>
    <xf numFmtId="0" fontId="3" fillId="5" borderId="17" xfId="1" applyFont="1" applyFill="1" applyBorder="1" applyAlignment="1">
      <alignment horizontal="center"/>
    </xf>
    <xf numFmtId="0" fontId="2" fillId="4" borderId="18" xfId="1" applyBorder="1" applyAlignment="1">
      <alignment horizontal="left"/>
    </xf>
    <xf numFmtId="0" fontId="2" fillId="4" borderId="3" xfId="1" applyBorder="1" applyAlignment="1">
      <alignment horizontal="center"/>
    </xf>
    <xf numFmtId="0" fontId="2" fillId="4" borderId="19" xfId="1" applyBorder="1"/>
    <xf numFmtId="0" fontId="2" fillId="4" borderId="3" xfId="1" applyBorder="1"/>
    <xf numFmtId="0" fontId="2" fillId="4" borderId="0" xfId="1" applyBorder="1" applyAlignment="1">
      <alignment horizontal="center"/>
    </xf>
    <xf numFmtId="0" fontId="2" fillId="4" borderId="0" xfId="1" applyBorder="1"/>
    <xf numFmtId="0" fontId="2" fillId="6" borderId="4" xfId="1" applyFill="1" applyBorder="1"/>
    <xf numFmtId="0" fontId="2" fillId="6" borderId="11" xfId="1" applyFill="1" applyBorder="1"/>
    <xf numFmtId="0" fontId="3" fillId="5" borderId="20" xfId="1" applyFont="1" applyFill="1" applyBorder="1" applyAlignment="1">
      <alignment horizontal="center"/>
    </xf>
    <xf numFmtId="0" fontId="2" fillId="4" borderId="21" xfId="1" applyBorder="1" applyAlignment="1">
      <alignment horizontal="center"/>
    </xf>
    <xf numFmtId="0" fontId="2" fillId="4" borderId="5" xfId="1" applyBorder="1" applyAlignment="1">
      <alignment horizontal="center"/>
    </xf>
    <xf numFmtId="0" fontId="2" fillId="4" borderId="22" xfId="1" applyBorder="1" applyAlignment="1">
      <alignment horizontal="center"/>
    </xf>
    <xf numFmtId="0" fontId="2" fillId="4" borderId="5" xfId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Vented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7030A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'250 Analysis'!$D$24:$G$24</c:f>
              <c:numCache>
                <c:formatCode>General</c:formatCode>
                <c:ptCount val="4"/>
                <c:pt idx="0">
                  <c:v>11.35</c:v>
                </c:pt>
                <c:pt idx="1">
                  <c:v>9.16</c:v>
                </c:pt>
                <c:pt idx="2">
                  <c:v>7.37</c:v>
                </c:pt>
                <c:pt idx="3">
                  <c:v>9.02</c:v>
                </c:pt>
              </c:numCache>
            </c:numRef>
          </c:xVal>
          <c:yVal>
            <c:numRef>
              <c:f>'250 Analysis'!$D$23:$G$23</c:f>
              <c:numCache>
                <c:formatCode>General</c:formatCode>
                <c:ptCount val="4"/>
                <c:pt idx="0">
                  <c:v>799</c:v>
                </c:pt>
                <c:pt idx="1">
                  <c:v>630</c:v>
                </c:pt>
                <c:pt idx="2">
                  <c:v>560</c:v>
                </c:pt>
                <c:pt idx="3">
                  <c:v>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7EB-4E71-AC4A-0230B8A9C290}"/>
            </c:ext>
          </c:extLst>
        </c:ser>
        <c:ser>
          <c:idx val="0"/>
          <c:order val="1"/>
          <c:tx>
            <c:v>Sample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'250 Analysis'!$C$24</c:f>
              <c:numCache>
                <c:formatCode>General</c:formatCode>
                <c:ptCount val="1"/>
                <c:pt idx="0">
                  <c:v>7.37</c:v>
                </c:pt>
              </c:numCache>
            </c:numRef>
          </c:xVal>
          <c:yVal>
            <c:numRef>
              <c:f>'250 Analysis'!$C$23</c:f>
              <c:numCache>
                <c:formatCode>General</c:formatCode>
                <c:ptCount val="1"/>
                <c:pt idx="0">
                  <c:v>560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7EB-4E71-AC4A-0230B8A9C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001696"/>
        <c:axId val="599981056"/>
      </c:scatterChart>
      <c:valAx>
        <c:axId val="600001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 Closing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81056"/>
        <c:crosses val="autoZero"/>
        <c:crossBetween val="midCat"/>
      </c:valAx>
      <c:valAx>
        <c:axId val="5999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Moin C;losing 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0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Hinge Bind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00B0F0"/>
              </a:solidFill>
              <a:ln w="317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F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'250 Analysis'!$D$38:$G$38</c:f>
              <c:numCache>
                <c:formatCode>0.00</c:formatCode>
                <c:ptCount val="4"/>
                <c:pt idx="0">
                  <c:v>1.5652475842498528</c:v>
                </c:pt>
                <c:pt idx="1">
                  <c:v>1.9798989873223329</c:v>
                </c:pt>
                <c:pt idx="2">
                  <c:v>1.4560219778561034</c:v>
                </c:pt>
                <c:pt idx="3">
                  <c:v>2.1260291625469301</c:v>
                </c:pt>
              </c:numCache>
            </c:numRef>
          </c:xVal>
          <c:yVal>
            <c:numRef>
              <c:f>'250 Analysis'!$D$35:$G$35</c:f>
              <c:numCache>
                <c:formatCode>General</c:formatCode>
                <c:ptCount val="4"/>
                <c:pt idx="0">
                  <c:v>170</c:v>
                </c:pt>
                <c:pt idx="1">
                  <c:v>385</c:v>
                </c:pt>
                <c:pt idx="2">
                  <c:v>234</c:v>
                </c:pt>
                <c:pt idx="3">
                  <c:v>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47-4570-B045-3B26B7BD4004}"/>
            </c:ext>
          </c:extLst>
        </c:ser>
        <c:ser>
          <c:idx val="1"/>
          <c:order val="1"/>
          <c:tx>
            <c:v>Sample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'250 Analysis'!$C$38</c:f>
              <c:numCache>
                <c:formatCode>0.00</c:formatCode>
                <c:ptCount val="1"/>
                <c:pt idx="0">
                  <c:v>1.4560219778561034</c:v>
                </c:pt>
              </c:numCache>
            </c:numRef>
          </c:xVal>
          <c:yVal>
            <c:numRef>
              <c:f>'250 Analysis'!$C$35</c:f>
              <c:numCache>
                <c:formatCode>General</c:formatCode>
                <c:ptCount val="1"/>
                <c:pt idx="0">
                  <c:v>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47-4570-B045-3B26B7BD4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012736"/>
        <c:axId val="600015616"/>
      </c:scatterChart>
      <c:valAx>
        <c:axId val="60001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Hinge Inclination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15616"/>
        <c:crosses val="autoZero"/>
        <c:crossBetween val="midCat"/>
      </c:valAx>
      <c:valAx>
        <c:axId val="60001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Hnge Bind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1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Ratio First</a:t>
            </a:r>
            <a:r>
              <a:rPr lang="en-US" baseline="0"/>
              <a:t> - Full Open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584350221176462"/>
          <c:y val="0.21535412461510681"/>
          <c:w val="0.73829718009550349"/>
          <c:h val="0.52729330062931612"/>
        </c:manualLayout>
      </c:layout>
      <c:scatterChart>
        <c:scatterStyle val="lineMarker"/>
        <c:varyColors val="0"/>
        <c:ser>
          <c:idx val="0"/>
          <c:order val="0"/>
          <c:tx>
            <c:v>Ratio Strap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00B0F0"/>
              </a:solidFill>
              <a:ln w="635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F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'250 Analysis'!$D$7:$G$7</c:f>
              <c:numCache>
                <c:formatCode>General</c:formatCode>
                <c:ptCount val="4"/>
                <c:pt idx="0">
                  <c:v>9.5399999999999991</c:v>
                </c:pt>
                <c:pt idx="1">
                  <c:v>6.02</c:v>
                </c:pt>
                <c:pt idx="2">
                  <c:v>5.63</c:v>
                </c:pt>
                <c:pt idx="3">
                  <c:v>7.81</c:v>
                </c:pt>
              </c:numCache>
            </c:numRef>
          </c:xVal>
          <c:yVal>
            <c:numRef>
              <c:f>'250 Analysis'!$D$17:$G$17</c:f>
              <c:numCache>
                <c:formatCode>General</c:formatCode>
                <c:ptCount val="4"/>
                <c:pt idx="0">
                  <c:v>15.63</c:v>
                </c:pt>
                <c:pt idx="1">
                  <c:v>11.69</c:v>
                </c:pt>
                <c:pt idx="2">
                  <c:v>9.82</c:v>
                </c:pt>
                <c:pt idx="3">
                  <c:v>12.69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DB-4D1D-92B2-A0BB34B12F26}"/>
            </c:ext>
          </c:extLst>
        </c:ser>
        <c:ser>
          <c:idx val="1"/>
          <c:order val="1"/>
          <c:tx>
            <c:v>Sample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'250 Analysis'!$C$7</c:f>
              <c:numCache>
                <c:formatCode>General</c:formatCode>
                <c:ptCount val="1"/>
                <c:pt idx="0">
                  <c:v>5.63</c:v>
                </c:pt>
              </c:numCache>
            </c:numRef>
          </c:xVal>
          <c:yVal>
            <c:numRef>
              <c:f>'250 Analysis'!$C$17</c:f>
              <c:numCache>
                <c:formatCode>General</c:formatCode>
                <c:ptCount val="1"/>
                <c:pt idx="0">
                  <c:v>9.82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DB-4D1D-92B2-A0BB34B12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019456"/>
        <c:axId val="600011776"/>
      </c:scatterChart>
      <c:valAx>
        <c:axId val="600019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Closing Energy from First Stop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11776"/>
        <c:crosses val="autoZero"/>
        <c:crossBetween val="midCat"/>
      </c:valAx>
      <c:valAx>
        <c:axId val="6000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Closing Energy from Full Open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1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Hinge Inclination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381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'250 Analysis'!$D$4:$G$4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'250 Analysis'!$D$38:$G$38</c:f>
              <c:numCache>
                <c:formatCode>0.00</c:formatCode>
                <c:ptCount val="4"/>
                <c:pt idx="0">
                  <c:v>1.5652475842498528</c:v>
                </c:pt>
                <c:pt idx="1">
                  <c:v>1.9798989873223329</c:v>
                </c:pt>
                <c:pt idx="2">
                  <c:v>1.4560219778561034</c:v>
                </c:pt>
                <c:pt idx="3">
                  <c:v>2.1260291625469301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9E-403C-9AE5-A7C8ADB15584}"/>
            </c:ext>
          </c:extLst>
        </c:ser>
        <c:ser>
          <c:idx val="1"/>
          <c:order val="1"/>
          <c:tx>
            <c:v>Nominal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'250 Analysis'!$C$4:$G$4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'250 Analysis'!$C$48:$G$48</c:f>
              <c:numCache>
                <c:formatCode>0.00</c:formatCode>
                <c:ptCount val="5"/>
                <c:pt idx="0" formatCode="General">
                  <c:v>2.27</c:v>
                </c:pt>
                <c:pt idx="1">
                  <c:v>2.2671568097509267</c:v>
                </c:pt>
                <c:pt idx="2">
                  <c:v>2.2671568097509267</c:v>
                </c:pt>
                <c:pt idx="3">
                  <c:v>2.2671568097509267</c:v>
                </c:pt>
                <c:pt idx="4">
                  <c:v>2.2671568097509267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9E-403C-9AE5-A7C8ADB15584}"/>
            </c:ext>
          </c:extLst>
        </c:ser>
        <c:ser>
          <c:idx val="2"/>
          <c:order val="2"/>
          <c:tx>
            <c:v>Sample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'250 Analysis'!$C$4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'250 Analysis'!$C$38</c:f>
              <c:numCache>
                <c:formatCode>0.00</c:formatCode>
                <c:ptCount val="1"/>
                <c:pt idx="0">
                  <c:v>1.4560219778561034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9E-403C-9AE5-A7C8ADB15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003616"/>
        <c:axId val="600004096"/>
      </c:scatterChart>
      <c:valAx>
        <c:axId val="600003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04096"/>
        <c:crosses val="autoZero"/>
        <c:crossBetween val="midCat"/>
      </c:valAx>
      <c:valAx>
        <c:axId val="6000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Hing inclinatiopn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0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Seal Compression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'250 Analysis'!$D$4:$G$4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'250 Analysis'!$D$13:$G$13</c:f>
              <c:numCache>
                <c:formatCode>General</c:formatCode>
                <c:ptCount val="4"/>
                <c:pt idx="0">
                  <c:v>269</c:v>
                </c:pt>
                <c:pt idx="1">
                  <c:v>241</c:v>
                </c:pt>
                <c:pt idx="2">
                  <c:v>205</c:v>
                </c:pt>
                <c:pt idx="3">
                  <c:v>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B8-4518-B8FC-E2332BBDE6C3}"/>
            </c:ext>
          </c:extLst>
        </c:ser>
        <c:ser>
          <c:idx val="1"/>
          <c:order val="1"/>
          <c:tx>
            <c:v>Nominal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'250 Analysis'!$C$4:$G$4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'250 Analysis'!$C$46:$G$46</c:f>
              <c:numCache>
                <c:formatCode>General</c:formatCode>
                <c:ptCount val="5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B8-4518-B8FC-E2332BBDE6C3}"/>
            </c:ext>
          </c:extLst>
        </c:ser>
        <c:ser>
          <c:idx val="2"/>
          <c:order val="2"/>
          <c:tx>
            <c:v>Sample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'250 Analysis'!$C$4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'250 Analysis'!$C$13</c:f>
              <c:numCache>
                <c:formatCode>General</c:formatCode>
                <c:ptCount val="1"/>
                <c:pt idx="0">
                  <c:v>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B8-4518-B8FC-E2332BBDE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003616"/>
        <c:axId val="600004096"/>
      </c:scatterChart>
      <c:valAx>
        <c:axId val="600003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04096"/>
        <c:crosses val="autoZero"/>
        <c:crossBetween val="midCat"/>
      </c:valAx>
      <c:valAx>
        <c:axId val="6000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Hing inclinatiopn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0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Seal Strike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'250 Analysis'!$D$13:$G$13</c:f>
              <c:numCache>
                <c:formatCode>General</c:formatCode>
                <c:ptCount val="4"/>
                <c:pt idx="0">
                  <c:v>269</c:v>
                </c:pt>
                <c:pt idx="1">
                  <c:v>241</c:v>
                </c:pt>
                <c:pt idx="2">
                  <c:v>205</c:v>
                </c:pt>
                <c:pt idx="3">
                  <c:v>255</c:v>
                </c:pt>
              </c:numCache>
            </c:numRef>
          </c:xVal>
          <c:yVal>
            <c:numRef>
              <c:f>'250 Analysis'!$D$14:$G$14</c:f>
              <c:numCache>
                <c:formatCode>General</c:formatCode>
                <c:ptCount val="4"/>
                <c:pt idx="0">
                  <c:v>214</c:v>
                </c:pt>
                <c:pt idx="1">
                  <c:v>178</c:v>
                </c:pt>
                <c:pt idx="2">
                  <c:v>128</c:v>
                </c:pt>
                <c:pt idx="3">
                  <c:v>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BA-4D5A-8A73-2669D68C46F0}"/>
            </c:ext>
          </c:extLst>
        </c:ser>
        <c:ser>
          <c:idx val="1"/>
          <c:order val="1"/>
          <c:tx>
            <c:v>Sample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'250 Analysis'!$C$13</c:f>
              <c:numCache>
                <c:formatCode>General</c:formatCode>
                <c:ptCount val="1"/>
                <c:pt idx="0">
                  <c:v>205</c:v>
                </c:pt>
              </c:numCache>
            </c:numRef>
          </c:xVal>
          <c:yVal>
            <c:numRef>
              <c:f>'250 Analysis'!$C$14</c:f>
              <c:numCache>
                <c:formatCode>General</c:formatCode>
                <c:ptCount val="1"/>
                <c:pt idx="0">
                  <c:v>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BA-4D5A-8A73-2669D68C4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012736"/>
        <c:axId val="600015616"/>
      </c:scatterChart>
      <c:valAx>
        <c:axId val="60001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Static</a:t>
                </a:r>
                <a:r>
                  <a:rPr lang="en-US" baseline="0"/>
                  <a:t> Force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15616"/>
        <c:crosses val="autoZero"/>
        <c:crossBetween val="midCat"/>
      </c:valAx>
      <c:valAx>
        <c:axId val="60001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Spring 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1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Seal Dynamic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317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'250 Analysis'!$D$13:$G$13</c:f>
              <c:numCache>
                <c:formatCode>General</c:formatCode>
                <c:ptCount val="4"/>
                <c:pt idx="0">
                  <c:v>269</c:v>
                </c:pt>
                <c:pt idx="1">
                  <c:v>241</c:v>
                </c:pt>
                <c:pt idx="2">
                  <c:v>205</c:v>
                </c:pt>
                <c:pt idx="3">
                  <c:v>255</c:v>
                </c:pt>
              </c:numCache>
            </c:numRef>
          </c:xVal>
          <c:yVal>
            <c:numRef>
              <c:f>'250 Analysis'!$D$16:$G$16</c:f>
              <c:numCache>
                <c:formatCode>General</c:formatCode>
                <c:ptCount val="4"/>
                <c:pt idx="0">
                  <c:v>1128</c:v>
                </c:pt>
                <c:pt idx="1">
                  <c:v>913</c:v>
                </c:pt>
                <c:pt idx="2">
                  <c:v>869</c:v>
                </c:pt>
                <c:pt idx="3">
                  <c:v>1031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C1-4ED2-BCF5-A05EE651CB4E}"/>
            </c:ext>
          </c:extLst>
        </c:ser>
        <c:ser>
          <c:idx val="1"/>
          <c:order val="1"/>
          <c:tx>
            <c:v>Sample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'250 Analysis'!$C$13</c:f>
              <c:numCache>
                <c:formatCode>General</c:formatCode>
                <c:ptCount val="1"/>
                <c:pt idx="0">
                  <c:v>205</c:v>
                </c:pt>
              </c:numCache>
            </c:numRef>
          </c:xVal>
          <c:yVal>
            <c:numRef>
              <c:f>'250 Analysis'!$C$16</c:f>
              <c:numCache>
                <c:formatCode>General</c:formatCode>
                <c:ptCount val="1"/>
                <c:pt idx="0">
                  <c:v>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C1-4ED2-BCF5-A05EE651C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012736"/>
        <c:axId val="600015616"/>
      </c:scatterChart>
      <c:valAx>
        <c:axId val="600012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Static Force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15616"/>
        <c:crosses val="autoZero"/>
        <c:crossBetween val="midCat"/>
      </c:valAx>
      <c:valAx>
        <c:axId val="60001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Door 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1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Closing 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accent1"/>
              </a:solidFill>
              <a:ln w="12700" cap="sq">
                <a:solidFill>
                  <a:schemeClr val="accent1"/>
                </a:solidFill>
              </a:ln>
              <a:effectLst/>
            </c:spPr>
          </c:marker>
          <c:xVal>
            <c:numRef>
              <c:f>'250 Analysis'!$D$4:$G$4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xVal>
          <c:yVal>
            <c:numRef>
              <c:f>'250 Analysis'!$D$7:$G$7</c:f>
              <c:numCache>
                <c:formatCode>General</c:formatCode>
                <c:ptCount val="4"/>
                <c:pt idx="0">
                  <c:v>9.5399999999999991</c:v>
                </c:pt>
                <c:pt idx="1">
                  <c:v>6.02</c:v>
                </c:pt>
                <c:pt idx="2">
                  <c:v>5.63</c:v>
                </c:pt>
                <c:pt idx="3">
                  <c:v>7.81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2-46DE-A4E8-4E05AEC9F606}"/>
            </c:ext>
          </c:extLst>
        </c:ser>
        <c:ser>
          <c:idx val="1"/>
          <c:order val="1"/>
          <c:tx>
            <c:v>Nominal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'250 Analysis'!$C$4:$G$4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'250 Analysis'!$C$47:$G$47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42-46DE-A4E8-4E05AEC9F606}"/>
            </c:ext>
          </c:extLst>
        </c:ser>
        <c:ser>
          <c:idx val="2"/>
          <c:order val="2"/>
          <c:tx>
            <c:v>Sample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'250 Analysis'!$C$4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'250 Analysis'!$C$7</c:f>
              <c:numCache>
                <c:formatCode>General</c:formatCode>
                <c:ptCount val="1"/>
                <c:pt idx="0">
                  <c:v>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42-46DE-A4E8-4E05AEC9F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003616"/>
        <c:axId val="600004096"/>
      </c:scatterChart>
      <c:valAx>
        <c:axId val="600003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04096"/>
        <c:crosses val="autoZero"/>
        <c:crossBetween val="midCat"/>
      </c:valAx>
      <c:valAx>
        <c:axId val="6000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Minimum Closin</a:t>
                </a:r>
                <a:r>
                  <a:rPr lang="en-US" baseline="0"/>
                  <a:t> gEnergy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0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Cabin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7030A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'250 Analysis'!$D$17:$G$17</c:f>
              <c:numCache>
                <c:formatCode>General</c:formatCode>
                <c:ptCount val="4"/>
                <c:pt idx="0">
                  <c:v>15.63</c:v>
                </c:pt>
                <c:pt idx="1">
                  <c:v>11.69</c:v>
                </c:pt>
                <c:pt idx="2">
                  <c:v>9.82</c:v>
                </c:pt>
                <c:pt idx="3">
                  <c:v>12.69</c:v>
                </c:pt>
              </c:numCache>
            </c:numRef>
          </c:xVal>
          <c:yVal>
            <c:numRef>
              <c:f>'250 Analysis'!$D$16:$G$16</c:f>
              <c:numCache>
                <c:formatCode>General</c:formatCode>
                <c:ptCount val="4"/>
                <c:pt idx="0">
                  <c:v>1128</c:v>
                </c:pt>
                <c:pt idx="1">
                  <c:v>913</c:v>
                </c:pt>
                <c:pt idx="2">
                  <c:v>869</c:v>
                </c:pt>
                <c:pt idx="3">
                  <c:v>1031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CB-4779-82CE-95649F3299A3}"/>
            </c:ext>
          </c:extLst>
        </c:ser>
        <c:ser>
          <c:idx val="1"/>
          <c:order val="1"/>
          <c:tx>
            <c:v>Sample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'250 Analysis'!$C$17</c:f>
              <c:numCache>
                <c:formatCode>General</c:formatCode>
                <c:ptCount val="1"/>
                <c:pt idx="0">
                  <c:v>9.82</c:v>
                </c:pt>
              </c:numCache>
            </c:numRef>
          </c:xVal>
          <c:yVal>
            <c:numRef>
              <c:f>'250 Analysis'!$C$16</c:f>
              <c:numCache>
                <c:formatCode>General</c:formatCode>
                <c:ptCount val="1"/>
                <c:pt idx="0">
                  <c:v>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CB-4779-82CE-95649F329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001696"/>
        <c:axId val="599981056"/>
      </c:scatterChart>
      <c:valAx>
        <c:axId val="600001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 Closing 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981056"/>
        <c:crosses val="autoZero"/>
        <c:crossBetween val="midCat"/>
      </c:valAx>
      <c:valAx>
        <c:axId val="5999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Moin C;losing Energy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00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514237</xdr:colOff>
      <xdr:row>29</xdr:row>
      <xdr:rowOff>36870</xdr:rowOff>
    </xdr:from>
    <xdr:to>
      <xdr:col>14</xdr:col>
      <xdr:colOff>132522</xdr:colOff>
      <xdr:row>42</xdr:row>
      <xdr:rowOff>70400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C3AB02-D2BA-E79D-4BF2-F12803C0E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256759</xdr:colOff>
      <xdr:row>20</xdr:row>
      <xdr:rowOff>57978</xdr:rowOff>
    </xdr:from>
    <xdr:to>
      <xdr:col>20</xdr:col>
      <xdr:colOff>576209</xdr:colOff>
      <xdr:row>33</xdr:row>
      <xdr:rowOff>175190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D99347-5C09-AEBC-CE35-862D356E5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235055</xdr:colOff>
      <xdr:row>7</xdr:row>
      <xdr:rowOff>53151</xdr:rowOff>
    </xdr:from>
    <xdr:to>
      <xdr:col>20</xdr:col>
      <xdr:colOff>542511</xdr:colOff>
      <xdr:row>19</xdr:row>
      <xdr:rowOff>53837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C602FD-CA13-631B-5D38-F74D36F5A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594278</xdr:colOff>
      <xdr:row>17</xdr:row>
      <xdr:rowOff>49697</xdr:rowOff>
    </xdr:from>
    <xdr:to>
      <xdr:col>14</xdr:col>
      <xdr:colOff>103533</xdr:colOff>
      <xdr:row>28</xdr:row>
      <xdr:rowOff>33131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859372-2EB1-B1F4-B962-FB6BDBD6D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608773</xdr:colOff>
      <xdr:row>43</xdr:row>
      <xdr:rowOff>157370</xdr:rowOff>
    </xdr:from>
    <xdr:to>
      <xdr:col>14</xdr:col>
      <xdr:colOff>118028</xdr:colOff>
      <xdr:row>54</xdr:row>
      <xdr:rowOff>140804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A1F0105-32F6-4B8E-83FA-CB268F401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91108</xdr:colOff>
      <xdr:row>50</xdr:row>
      <xdr:rowOff>53837</xdr:rowOff>
    </xdr:from>
    <xdr:to>
      <xdr:col>20</xdr:col>
      <xdr:colOff>318881</xdr:colOff>
      <xdr:row>64</xdr:row>
      <xdr:rowOff>84082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EE7A65-2C42-490B-B9B7-0EB4E6406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16565</xdr:colOff>
      <xdr:row>55</xdr:row>
      <xdr:rowOff>111815</xdr:rowOff>
    </xdr:from>
    <xdr:to>
      <xdr:col>14</xdr:col>
      <xdr:colOff>78685</xdr:colOff>
      <xdr:row>68</xdr:row>
      <xdr:rowOff>178077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ECEFBB-4564-47A2-94B8-FC9D6BE0A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567359</xdr:colOff>
      <xdr:row>4</xdr:row>
      <xdr:rowOff>157369</xdr:rowOff>
    </xdr:from>
    <xdr:to>
      <xdr:col>14</xdr:col>
      <xdr:colOff>76614</xdr:colOff>
      <xdr:row>15</xdr:row>
      <xdr:rowOff>140803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36FE35-3409-416E-BAC4-F8435568C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294033</xdr:colOff>
      <xdr:row>35</xdr:row>
      <xdr:rowOff>53838</xdr:rowOff>
    </xdr:from>
    <xdr:to>
      <xdr:col>20</xdr:col>
      <xdr:colOff>558362</xdr:colOff>
      <xdr:row>48</xdr:row>
      <xdr:rowOff>87368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0688D1E-1102-4A0D-A01A-D6639F929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2737-5F69-4710-9B6B-2C3F6951559D}">
  <dimension ref="A1:G48"/>
  <sheetViews>
    <sheetView tabSelected="1" zoomScale="145" zoomScaleNormal="145" workbookViewId="0">
      <selection activeCell="H12" sqref="H12"/>
    </sheetView>
  </sheetViews>
  <sheetFormatPr defaultRowHeight="14.25" x14ac:dyDescent="0.45"/>
  <cols>
    <col min="1" max="1" width="13.59765625" style="39" bestFit="1" customWidth="1"/>
    <col min="2" max="2" width="14.53125" style="40" bestFit="1" customWidth="1"/>
    <col min="3" max="3" width="12.265625" style="33" bestFit="1" customWidth="1"/>
    <col min="4" max="4" width="9.265625" style="31" bestFit="1" customWidth="1"/>
    <col min="5" max="5" width="9.265625" style="22" bestFit="1" customWidth="1"/>
    <col min="6" max="6" width="9.265625" style="28" bestFit="1" customWidth="1"/>
    <col min="7" max="7" width="9.265625" bestFit="1" customWidth="1"/>
  </cols>
  <sheetData>
    <row r="1" spans="1:7" s="46" customFormat="1" ht="14.65" thickBot="1" x14ac:dyDescent="0.5">
      <c r="A1" s="35" t="s">
        <v>40</v>
      </c>
      <c r="B1" s="36"/>
      <c r="C1" s="41" t="s">
        <v>44</v>
      </c>
      <c r="D1" s="43" t="s">
        <v>46</v>
      </c>
      <c r="E1" s="44"/>
      <c r="F1" s="45"/>
    </row>
    <row r="2" spans="1:7" s="48" customFormat="1" x14ac:dyDescent="0.45">
      <c r="A2" s="37" t="s">
        <v>33</v>
      </c>
      <c r="B2" s="38" t="s">
        <v>41</v>
      </c>
      <c r="C2" s="41" t="s">
        <v>45</v>
      </c>
      <c r="D2" s="29">
        <v>1041520</v>
      </c>
      <c r="E2" s="47">
        <v>1041520</v>
      </c>
      <c r="F2" s="24">
        <v>1021555</v>
      </c>
      <c r="G2" s="47">
        <v>1021555</v>
      </c>
    </row>
    <row r="3" spans="1:7" s="48" customFormat="1" x14ac:dyDescent="0.45">
      <c r="A3" s="37"/>
      <c r="B3" s="38"/>
      <c r="C3" s="42"/>
      <c r="D3" s="30" t="s">
        <v>30</v>
      </c>
      <c r="E3" s="47" t="s">
        <v>31</v>
      </c>
      <c r="F3" s="25" t="s">
        <v>30</v>
      </c>
      <c r="G3" s="47" t="s">
        <v>31</v>
      </c>
    </row>
    <row r="4" spans="1:7" s="55" customFormat="1" ht="14.65" thickBot="1" x14ac:dyDescent="0.5">
      <c r="A4" s="49"/>
      <c r="B4" s="50"/>
      <c r="C4" s="51">
        <v>1</v>
      </c>
      <c r="D4" s="52">
        <v>2</v>
      </c>
      <c r="E4" s="53">
        <v>3</v>
      </c>
      <c r="F4" s="54">
        <v>4</v>
      </c>
      <c r="G4" s="53">
        <v>5</v>
      </c>
    </row>
    <row r="6" spans="1:7" x14ac:dyDescent="0.45">
      <c r="A6" s="39" t="s">
        <v>34</v>
      </c>
      <c r="B6" s="40" t="s">
        <v>5</v>
      </c>
      <c r="D6" s="31">
        <v>1127</v>
      </c>
      <c r="E6" s="22">
        <v>944</v>
      </c>
      <c r="F6" s="28">
        <v>885</v>
      </c>
      <c r="G6">
        <v>1094</v>
      </c>
    </row>
    <row r="7" spans="1:7" x14ac:dyDescent="0.45">
      <c r="B7" s="40" t="s">
        <v>4</v>
      </c>
      <c r="C7" s="33">
        <f>F7</f>
        <v>5.63</v>
      </c>
      <c r="D7" s="31">
        <v>9.5399999999999991</v>
      </c>
      <c r="E7" s="22">
        <v>6.02</v>
      </c>
      <c r="F7" s="28">
        <v>5.63</v>
      </c>
      <c r="G7">
        <v>7.81</v>
      </c>
    </row>
    <row r="8" spans="1:7" x14ac:dyDescent="0.45">
      <c r="B8" s="40" t="s">
        <v>25</v>
      </c>
      <c r="D8" s="31">
        <v>27.4</v>
      </c>
      <c r="E8" s="22">
        <v>25.9</v>
      </c>
      <c r="F8" s="28">
        <v>26.8</v>
      </c>
      <c r="G8">
        <v>26.9</v>
      </c>
    </row>
    <row r="9" spans="1:7" x14ac:dyDescent="0.45">
      <c r="B9" s="40" t="s">
        <v>26</v>
      </c>
      <c r="D9" s="31">
        <v>0.8</v>
      </c>
      <c r="E9" s="22">
        <v>0</v>
      </c>
      <c r="F9" s="28">
        <v>0.6</v>
      </c>
      <c r="G9">
        <v>-0.1</v>
      </c>
    </row>
    <row r="10" spans="1:7" x14ac:dyDescent="0.45">
      <c r="B10" s="40" t="s">
        <v>27</v>
      </c>
      <c r="D10" s="31">
        <v>-1.4</v>
      </c>
      <c r="E10" s="22">
        <v>1.6</v>
      </c>
      <c r="F10" s="28">
        <v>-1.6</v>
      </c>
      <c r="G10">
        <v>1.7</v>
      </c>
    </row>
    <row r="11" spans="1:7" x14ac:dyDescent="0.45">
      <c r="B11" s="40" t="s">
        <v>28</v>
      </c>
      <c r="D11" s="31">
        <v>565</v>
      </c>
      <c r="E11" s="22">
        <v>610</v>
      </c>
      <c r="F11" s="28">
        <v>605</v>
      </c>
      <c r="G11">
        <v>399</v>
      </c>
    </row>
    <row r="13" spans="1:7" x14ac:dyDescent="0.45">
      <c r="B13" s="40" t="s">
        <v>29</v>
      </c>
      <c r="C13" s="33">
        <f>F13</f>
        <v>205</v>
      </c>
      <c r="D13" s="31">
        <v>269</v>
      </c>
      <c r="E13" s="22">
        <v>241</v>
      </c>
      <c r="F13" s="28">
        <v>205</v>
      </c>
      <c r="G13">
        <v>255</v>
      </c>
    </row>
    <row r="14" spans="1:7" x14ac:dyDescent="0.45">
      <c r="B14" s="40" t="s">
        <v>10</v>
      </c>
      <c r="C14" s="33">
        <f>F14</f>
        <v>128</v>
      </c>
      <c r="D14" s="31">
        <v>214</v>
      </c>
      <c r="E14" s="22">
        <v>178</v>
      </c>
      <c r="F14" s="28">
        <v>128</v>
      </c>
      <c r="G14">
        <v>170</v>
      </c>
    </row>
    <row r="16" spans="1:7" x14ac:dyDescent="0.45">
      <c r="A16" s="39" t="s">
        <v>35</v>
      </c>
      <c r="B16" s="40" t="s">
        <v>5</v>
      </c>
      <c r="C16" s="33">
        <f>F16</f>
        <v>869</v>
      </c>
      <c r="D16" s="31">
        <v>1128</v>
      </c>
      <c r="E16" s="22">
        <v>913</v>
      </c>
      <c r="F16" s="28">
        <v>869</v>
      </c>
      <c r="G16">
        <v>1031</v>
      </c>
    </row>
    <row r="17" spans="1:7" x14ac:dyDescent="0.45">
      <c r="B17" s="40" t="s">
        <v>4</v>
      </c>
      <c r="C17" s="33">
        <f>F17</f>
        <v>9.82</v>
      </c>
      <c r="D17" s="31">
        <v>15.63</v>
      </c>
      <c r="E17" s="22">
        <v>11.69</v>
      </c>
      <c r="F17" s="28">
        <v>9.82</v>
      </c>
      <c r="G17">
        <v>12.69</v>
      </c>
    </row>
    <row r="18" spans="1:7" x14ac:dyDescent="0.45">
      <c r="B18" s="40" t="s">
        <v>25</v>
      </c>
      <c r="D18" s="31">
        <v>72.3</v>
      </c>
      <c r="E18" s="22">
        <v>69.099999999999994</v>
      </c>
      <c r="F18" s="28">
        <v>72.099999999999994</v>
      </c>
      <c r="G18">
        <v>71</v>
      </c>
    </row>
    <row r="19" spans="1:7" x14ac:dyDescent="0.45">
      <c r="B19" s="40" t="s">
        <v>26</v>
      </c>
      <c r="D19" s="31">
        <v>0.7</v>
      </c>
      <c r="E19" s="22">
        <v>1.4</v>
      </c>
      <c r="F19" s="28">
        <v>0.4</v>
      </c>
      <c r="G19">
        <v>1.4</v>
      </c>
    </row>
    <row r="20" spans="1:7" x14ac:dyDescent="0.45">
      <c r="B20" s="40" t="s">
        <v>27</v>
      </c>
      <c r="D20" s="31">
        <v>-1.4</v>
      </c>
      <c r="E20" s="22">
        <v>-1.4</v>
      </c>
      <c r="F20" s="28">
        <v>-1.4</v>
      </c>
      <c r="G20">
        <v>-1.6</v>
      </c>
    </row>
    <row r="21" spans="1:7" x14ac:dyDescent="0.45">
      <c r="B21" s="40" t="s">
        <v>28</v>
      </c>
      <c r="D21" s="31">
        <v>-430</v>
      </c>
      <c r="E21" s="22">
        <v>-671</v>
      </c>
      <c r="F21" s="28">
        <v>-442</v>
      </c>
      <c r="G21">
        <v>-511</v>
      </c>
    </row>
    <row r="23" spans="1:7" x14ac:dyDescent="0.45">
      <c r="A23" s="39" t="s">
        <v>36</v>
      </c>
      <c r="B23" s="40" t="s">
        <v>5</v>
      </c>
      <c r="C23" s="33">
        <f>F23</f>
        <v>560</v>
      </c>
      <c r="D23" s="31">
        <v>799</v>
      </c>
      <c r="E23" s="22">
        <v>630</v>
      </c>
      <c r="F23" s="28">
        <v>560</v>
      </c>
      <c r="G23">
        <v>663</v>
      </c>
    </row>
    <row r="24" spans="1:7" x14ac:dyDescent="0.45">
      <c r="B24" s="40" t="s">
        <v>4</v>
      </c>
      <c r="C24" s="33">
        <f>F24</f>
        <v>7.37</v>
      </c>
      <c r="D24" s="31">
        <v>11.35</v>
      </c>
      <c r="E24" s="22">
        <v>9.16</v>
      </c>
      <c r="F24" s="28">
        <v>7.37</v>
      </c>
      <c r="G24">
        <v>9.02</v>
      </c>
    </row>
    <row r="25" spans="1:7" x14ac:dyDescent="0.45">
      <c r="B25" s="40" t="s">
        <v>25</v>
      </c>
      <c r="D25" s="31">
        <v>72.3</v>
      </c>
      <c r="E25" s="22">
        <v>69.7</v>
      </c>
      <c r="F25" s="28">
        <v>72.3</v>
      </c>
      <c r="G25">
        <v>71</v>
      </c>
    </row>
    <row r="26" spans="1:7" x14ac:dyDescent="0.45">
      <c r="B26" s="40" t="s">
        <v>26</v>
      </c>
      <c r="D26" s="31">
        <v>0.7</v>
      </c>
      <c r="E26" s="22">
        <v>1.4</v>
      </c>
      <c r="F26" s="28">
        <v>0.4</v>
      </c>
      <c r="G26">
        <v>1.4</v>
      </c>
    </row>
    <row r="27" spans="1:7" x14ac:dyDescent="0.45">
      <c r="B27" s="40" t="s">
        <v>27</v>
      </c>
      <c r="D27" s="31">
        <v>-1.6</v>
      </c>
      <c r="E27" s="22">
        <v>-1.5</v>
      </c>
      <c r="F27" s="28">
        <v>-1.44</v>
      </c>
      <c r="G27">
        <v>-1.6</v>
      </c>
    </row>
    <row r="28" spans="1:7" x14ac:dyDescent="0.45">
      <c r="B28" s="40" t="s">
        <v>28</v>
      </c>
      <c r="D28" s="31">
        <v>-662</v>
      </c>
      <c r="E28" s="22">
        <v>-555</v>
      </c>
      <c r="F28" s="28">
        <v>-656</v>
      </c>
      <c r="G28">
        <v>-618</v>
      </c>
    </row>
    <row r="30" spans="1:7" x14ac:dyDescent="0.45">
      <c r="A30" s="39" t="s">
        <v>37</v>
      </c>
      <c r="B30" s="40" t="s">
        <v>5</v>
      </c>
      <c r="D30" s="31">
        <v>756</v>
      </c>
      <c r="E30" s="22">
        <v>661</v>
      </c>
      <c r="F30" s="28">
        <v>630</v>
      </c>
      <c r="G30">
        <v>688</v>
      </c>
    </row>
    <row r="31" spans="1:7" x14ac:dyDescent="0.45">
      <c r="B31" s="40" t="s">
        <v>4</v>
      </c>
      <c r="D31" s="31">
        <v>2.11</v>
      </c>
      <c r="E31" s="22">
        <v>1.37</v>
      </c>
      <c r="F31" s="28">
        <v>0.3</v>
      </c>
      <c r="G31">
        <v>1.22</v>
      </c>
    </row>
    <row r="32" spans="1:7" x14ac:dyDescent="0.45">
      <c r="B32" s="40" t="s">
        <v>25</v>
      </c>
      <c r="D32" s="31">
        <v>75.2</v>
      </c>
      <c r="E32" s="22">
        <v>72.7</v>
      </c>
      <c r="F32" s="28">
        <v>74.7</v>
      </c>
      <c r="G32">
        <v>73.099999999999994</v>
      </c>
    </row>
    <row r="33" spans="1:7" x14ac:dyDescent="0.45">
      <c r="B33" s="40" t="s">
        <v>26</v>
      </c>
      <c r="D33" s="31">
        <v>0.7</v>
      </c>
      <c r="E33" s="22">
        <v>1.3</v>
      </c>
      <c r="F33" s="28">
        <v>0.4</v>
      </c>
      <c r="G33">
        <v>1.1000000000000001</v>
      </c>
    </row>
    <row r="34" spans="1:7" x14ac:dyDescent="0.45">
      <c r="B34" s="40" t="s">
        <v>27</v>
      </c>
      <c r="D34" s="31">
        <v>-1.7</v>
      </c>
      <c r="E34" s="22">
        <v>-1.6</v>
      </c>
      <c r="F34" s="28">
        <v>-1.45</v>
      </c>
      <c r="G34">
        <v>-1.6</v>
      </c>
    </row>
    <row r="35" spans="1:7" x14ac:dyDescent="0.45">
      <c r="B35" s="40" t="s">
        <v>28</v>
      </c>
      <c r="C35" s="33">
        <f>F35</f>
        <v>234</v>
      </c>
      <c r="D35" s="31">
        <v>170</v>
      </c>
      <c r="E35" s="22">
        <v>385</v>
      </c>
      <c r="F35" s="28">
        <v>234</v>
      </c>
      <c r="G35">
        <v>367</v>
      </c>
    </row>
    <row r="38" spans="1:7" x14ac:dyDescent="0.45">
      <c r="A38" s="39" t="s">
        <v>42</v>
      </c>
      <c r="B38" s="40" t="s">
        <v>39</v>
      </c>
      <c r="C38" s="34">
        <f>F38</f>
        <v>1.4560219778561034</v>
      </c>
      <c r="D38" s="32">
        <f>SQRT(D19^2+D20^2)</f>
        <v>1.5652475842498528</v>
      </c>
      <c r="E38" s="23">
        <f t="shared" ref="E38:G38" si="0">SQRT(E19^2+E20^2)</f>
        <v>1.9798989873223329</v>
      </c>
      <c r="F38" s="27">
        <f t="shared" si="0"/>
        <v>1.4560219778561034</v>
      </c>
      <c r="G38" s="23">
        <f t="shared" si="0"/>
        <v>2.1260291625469301</v>
      </c>
    </row>
    <row r="41" spans="1:7" x14ac:dyDescent="0.45">
      <c r="B41" s="40" t="s">
        <v>38</v>
      </c>
      <c r="D41" s="31">
        <f>D17-D24</f>
        <v>4.2800000000000011</v>
      </c>
      <c r="E41" s="22">
        <f>E17-E24</f>
        <v>2.5299999999999994</v>
      </c>
      <c r="F41" s="26">
        <f>F17-F24</f>
        <v>2.4500000000000002</v>
      </c>
      <c r="G41" s="22">
        <f>G17-G24</f>
        <v>3.67</v>
      </c>
    </row>
    <row r="42" spans="1:7" x14ac:dyDescent="0.45">
      <c r="B42" s="40" t="s">
        <v>32</v>
      </c>
      <c r="D42" s="31">
        <f>D24-D31</f>
        <v>9.24</v>
      </c>
      <c r="E42" s="22">
        <f>E24-E31</f>
        <v>7.79</v>
      </c>
      <c r="F42" s="26">
        <f>F24-F31</f>
        <v>7.07</v>
      </c>
      <c r="G42" s="22">
        <f>G24-G31</f>
        <v>7.8</v>
      </c>
    </row>
    <row r="43" spans="1:7" x14ac:dyDescent="0.45">
      <c r="B43" s="40" t="s">
        <v>28</v>
      </c>
      <c r="D43" s="31">
        <f>D28-D35</f>
        <v>-832</v>
      </c>
      <c r="E43" s="22">
        <f>E28-E35</f>
        <v>-940</v>
      </c>
      <c r="F43" s="26">
        <f>F28-F35</f>
        <v>-890</v>
      </c>
      <c r="G43" s="22">
        <f>G28-G35</f>
        <v>-985</v>
      </c>
    </row>
    <row r="46" spans="1:7" x14ac:dyDescent="0.45">
      <c r="A46" s="39" t="s">
        <v>43</v>
      </c>
      <c r="B46" s="40" t="s">
        <v>8</v>
      </c>
      <c r="C46" s="33">
        <v>200</v>
      </c>
      <c r="D46" s="31">
        <v>200</v>
      </c>
      <c r="E46" s="22">
        <v>200</v>
      </c>
      <c r="F46" s="28">
        <v>200</v>
      </c>
      <c r="G46">
        <v>200</v>
      </c>
    </row>
    <row r="47" spans="1:7" x14ac:dyDescent="0.45">
      <c r="B47" s="40" t="s">
        <v>4</v>
      </c>
      <c r="C47" s="33">
        <v>7</v>
      </c>
      <c r="D47" s="31">
        <v>7</v>
      </c>
      <c r="E47" s="22">
        <v>7</v>
      </c>
      <c r="F47" s="28">
        <v>7</v>
      </c>
      <c r="G47">
        <v>7</v>
      </c>
    </row>
    <row r="48" spans="1:7" x14ac:dyDescent="0.45">
      <c r="B48" s="40" t="s">
        <v>25</v>
      </c>
      <c r="C48" s="33">
        <v>2.27</v>
      </c>
      <c r="D48" s="32">
        <f>SQRT(1.5^2+1.7^2)</f>
        <v>2.2671568097509267</v>
      </c>
      <c r="E48" s="27">
        <f t="shared" ref="E48:G48" si="1">SQRT(1.5^2+1.7^2)</f>
        <v>2.2671568097509267</v>
      </c>
      <c r="F48" s="27">
        <f t="shared" si="1"/>
        <v>2.2671568097509267</v>
      </c>
      <c r="G48" s="27">
        <f t="shared" si="1"/>
        <v>2.2671568097509267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1D5BE-190A-45D5-9257-30F3E9AAA6EF}">
  <dimension ref="A1:I18"/>
  <sheetViews>
    <sheetView zoomScale="190" zoomScaleNormal="190" workbookViewId="0">
      <selection activeCell="F12" sqref="F12"/>
    </sheetView>
  </sheetViews>
  <sheetFormatPr defaultRowHeight="14.25" x14ac:dyDescent="0.45"/>
  <sheetData>
    <row r="1" spans="1:9" x14ac:dyDescent="0.45">
      <c r="B1" t="s">
        <v>4</v>
      </c>
      <c r="C1" t="s">
        <v>5</v>
      </c>
      <c r="D1" t="s">
        <v>8</v>
      </c>
      <c r="E1" t="s">
        <v>10</v>
      </c>
      <c r="F1" t="s">
        <v>11</v>
      </c>
      <c r="G1" t="s">
        <v>12</v>
      </c>
      <c r="H1" t="s">
        <v>23</v>
      </c>
      <c r="I1" t="s">
        <v>24</v>
      </c>
    </row>
    <row r="2" spans="1:9" x14ac:dyDescent="0.45">
      <c r="B2" t="s">
        <v>6</v>
      </c>
      <c r="C2" t="s">
        <v>7</v>
      </c>
      <c r="D2" t="s">
        <v>9</v>
      </c>
      <c r="F2" s="1" t="s">
        <v>13</v>
      </c>
      <c r="G2" s="1" t="s">
        <v>14</v>
      </c>
    </row>
    <row r="3" spans="1:9" x14ac:dyDescent="0.45">
      <c r="A3" t="s">
        <v>0</v>
      </c>
      <c r="B3">
        <v>6.3</v>
      </c>
      <c r="C3">
        <v>0.73</v>
      </c>
      <c r="D3">
        <v>195</v>
      </c>
    </row>
    <row r="4" spans="1:9" x14ac:dyDescent="0.45">
      <c r="I4">
        <f>25 * 9.81 * 0.05/2</f>
        <v>6.1312500000000005</v>
      </c>
    </row>
    <row r="5" spans="1:9" x14ac:dyDescent="0.45">
      <c r="A5" t="s">
        <v>1</v>
      </c>
      <c r="B5">
        <v>8.1</v>
      </c>
      <c r="C5">
        <v>0.92</v>
      </c>
      <c r="D5">
        <v>280</v>
      </c>
    </row>
    <row r="7" spans="1:9" x14ac:dyDescent="0.45">
      <c r="A7" t="s">
        <v>2</v>
      </c>
      <c r="B7">
        <v>9.4</v>
      </c>
      <c r="C7">
        <v>1.18</v>
      </c>
      <c r="D7">
        <v>175</v>
      </c>
    </row>
    <row r="9" spans="1:9" x14ac:dyDescent="0.45">
      <c r="A9" t="s">
        <v>3</v>
      </c>
      <c r="B9">
        <v>10.3</v>
      </c>
      <c r="C9">
        <v>1.27</v>
      </c>
      <c r="D9">
        <v>188</v>
      </c>
    </row>
    <row r="12" spans="1:9" x14ac:dyDescent="0.45">
      <c r="A12" t="s">
        <v>0</v>
      </c>
      <c r="B12">
        <v>5.6</v>
      </c>
      <c r="C12">
        <v>0.7</v>
      </c>
      <c r="D12">
        <v>195</v>
      </c>
      <c r="E12">
        <v>116</v>
      </c>
      <c r="F12">
        <v>-0.91</v>
      </c>
      <c r="G12">
        <v>-2.0499999999999998</v>
      </c>
      <c r="H12">
        <v>-520</v>
      </c>
      <c r="I12">
        <v>347</v>
      </c>
    </row>
    <row r="14" spans="1:9" x14ac:dyDescent="0.45">
      <c r="A14" t="s">
        <v>1</v>
      </c>
      <c r="B14">
        <v>7.3</v>
      </c>
      <c r="C14">
        <v>0.85</v>
      </c>
      <c r="D14">
        <v>280</v>
      </c>
      <c r="E14">
        <v>154</v>
      </c>
      <c r="F14">
        <v>-2.54</v>
      </c>
      <c r="G14">
        <v>0.14000000000000001</v>
      </c>
      <c r="H14">
        <v>-414</v>
      </c>
      <c r="I14">
        <v>244</v>
      </c>
    </row>
    <row r="16" spans="1:9" x14ac:dyDescent="0.45">
      <c r="A16" t="s">
        <v>2</v>
      </c>
      <c r="B16">
        <v>8.9</v>
      </c>
      <c r="C16">
        <v>1.1499999999999999</v>
      </c>
      <c r="D16">
        <v>175</v>
      </c>
      <c r="E16">
        <v>142</v>
      </c>
      <c r="F16">
        <v>3.09</v>
      </c>
      <c r="G16">
        <v>-1.75</v>
      </c>
      <c r="H16">
        <v>-510</v>
      </c>
      <c r="I16">
        <v>1290</v>
      </c>
    </row>
    <row r="18" spans="1:9" x14ac:dyDescent="0.45">
      <c r="A18" t="s">
        <v>3</v>
      </c>
      <c r="B18">
        <v>9.6199999999999992</v>
      </c>
      <c r="C18">
        <v>1.19</v>
      </c>
      <c r="D18">
        <v>188</v>
      </c>
      <c r="E18">
        <v>193</v>
      </c>
      <c r="F18">
        <v>-0.64</v>
      </c>
      <c r="G18">
        <v>3.9</v>
      </c>
      <c r="H18">
        <v>-470</v>
      </c>
      <c r="I18">
        <v>1178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0D5B-EFFE-4958-9643-54F38E9BD09F}">
  <dimension ref="A1:J31"/>
  <sheetViews>
    <sheetView zoomScale="145" zoomScaleNormal="145" workbookViewId="0">
      <selection activeCell="M21" sqref="M21"/>
    </sheetView>
  </sheetViews>
  <sheetFormatPr defaultRowHeight="14.25" x14ac:dyDescent="0.45"/>
  <cols>
    <col min="1" max="2" width="9" style="2"/>
    <col min="3" max="3" width="9.265625" style="14" bestFit="1" customWidth="1"/>
    <col min="4" max="4" width="9" style="10"/>
    <col min="6" max="6" width="9.265625" style="14" bestFit="1" customWidth="1"/>
    <col min="7" max="7" width="9" style="10"/>
    <col min="9" max="9" width="9.265625" style="14" bestFit="1" customWidth="1"/>
    <col min="10" max="10" width="9" style="10"/>
  </cols>
  <sheetData>
    <row r="1" spans="1:10" s="3" customFormat="1" x14ac:dyDescent="0.45">
      <c r="A1" s="3" t="s">
        <v>18</v>
      </c>
      <c r="C1" s="7">
        <v>250</v>
      </c>
      <c r="D1" s="8"/>
      <c r="F1" s="7">
        <v>270</v>
      </c>
      <c r="G1" s="8"/>
      <c r="I1" s="7">
        <v>246</v>
      </c>
      <c r="J1" s="8"/>
    </row>
    <row r="2" spans="1:10" x14ac:dyDescent="0.45">
      <c r="A2" s="2" t="s">
        <v>15</v>
      </c>
      <c r="B2" s="2" t="s">
        <v>16</v>
      </c>
      <c r="C2" s="9">
        <v>423.38200000000001</v>
      </c>
      <c r="F2" s="9">
        <v>395.97500000000002</v>
      </c>
      <c r="I2" s="9">
        <v>395.97899999999998</v>
      </c>
    </row>
    <row r="3" spans="1:10" x14ac:dyDescent="0.45">
      <c r="C3" s="9">
        <v>-781.45799999999997</v>
      </c>
      <c r="F3" s="9">
        <v>-815.47199999999998</v>
      </c>
      <c r="I3" s="9">
        <v>-815.49199999999996</v>
      </c>
    </row>
    <row r="4" spans="1:10" x14ac:dyDescent="0.45">
      <c r="C4" s="9">
        <v>512.06200000000001</v>
      </c>
      <c r="F4" s="9">
        <v>518.56200000000001</v>
      </c>
      <c r="I4" s="9">
        <v>518.06299999999999</v>
      </c>
    </row>
    <row r="5" spans="1:10" x14ac:dyDescent="0.45">
      <c r="C5" s="11"/>
      <c r="F5" s="11"/>
      <c r="I5" s="11"/>
    </row>
    <row r="6" spans="1:10" x14ac:dyDescent="0.45">
      <c r="B6" s="2" t="s">
        <v>17</v>
      </c>
      <c r="C6" s="9">
        <v>414.97500000000002</v>
      </c>
      <c r="F6" s="9">
        <v>399.15699999999998</v>
      </c>
      <c r="I6" s="9">
        <v>399.15699999999998</v>
      </c>
    </row>
    <row r="7" spans="1:10" x14ac:dyDescent="0.45">
      <c r="C7" s="9">
        <v>-790.98699999999997</v>
      </c>
      <c r="F7" s="9">
        <v>-830.12</v>
      </c>
      <c r="I7" s="9">
        <v>-830.12</v>
      </c>
    </row>
    <row r="8" spans="1:10" s="4" customFormat="1" x14ac:dyDescent="0.45">
      <c r="A8" s="15"/>
      <c r="B8" s="15"/>
      <c r="C8" s="12">
        <v>191.02099999999999</v>
      </c>
      <c r="D8" s="13"/>
      <c r="F8" s="12">
        <v>153.87</v>
      </c>
      <c r="G8" s="13"/>
      <c r="I8" s="12">
        <v>153.87</v>
      </c>
      <c r="J8" s="13"/>
    </row>
    <row r="10" spans="1:10" x14ac:dyDescent="0.45">
      <c r="B10" s="2" t="s">
        <v>19</v>
      </c>
      <c r="C10" s="11">
        <f>C2-C6</f>
        <v>8.4069999999999823</v>
      </c>
      <c r="F10" s="11">
        <f>F2-F6</f>
        <v>-3.1819999999999595</v>
      </c>
      <c r="I10" s="11">
        <f>I2-I6</f>
        <v>-3.1779999999999973</v>
      </c>
    </row>
    <row r="11" spans="1:10" x14ac:dyDescent="0.45">
      <c r="C11" s="11">
        <f t="shared" ref="C11:C12" si="0">C3-C7</f>
        <v>9.5289999999999964</v>
      </c>
      <c r="F11" s="11">
        <f t="shared" ref="F11:F12" si="1">F3-F7</f>
        <v>14.648000000000025</v>
      </c>
      <c r="I11" s="11">
        <f t="shared" ref="I11:I12" si="2">I3-I7</f>
        <v>14.628000000000043</v>
      </c>
    </row>
    <row r="12" spans="1:10" x14ac:dyDescent="0.45">
      <c r="C12" s="11">
        <f t="shared" si="0"/>
        <v>321.04100000000005</v>
      </c>
      <c r="F12" s="11">
        <f t="shared" si="1"/>
        <v>364.69200000000001</v>
      </c>
      <c r="I12" s="11">
        <f t="shared" si="2"/>
        <v>364.19299999999998</v>
      </c>
    </row>
    <row r="13" spans="1:10" ht="14.65" thickBot="1" x14ac:dyDescent="0.5"/>
    <row r="14" spans="1:10" s="5" customFormat="1" x14ac:dyDescent="0.45">
      <c r="A14" s="7" t="s">
        <v>15</v>
      </c>
      <c r="B14" s="19" t="s">
        <v>20</v>
      </c>
      <c r="C14" s="16">
        <f>ATAN(C10/C12)*180/3.14</f>
        <v>1.5008046375835076</v>
      </c>
      <c r="D14" s="8" t="str">
        <f>IF(C10&gt;0,"Forward","Rearward")</f>
        <v>Forward</v>
      </c>
      <c r="F14" s="16">
        <f>ATAN(F10/F12)*180/3.14</f>
        <v>-0.50015633660819625</v>
      </c>
      <c r="G14" s="8" t="str">
        <f>IF(F10&gt;0,"Forward","Rearward")</f>
        <v>Rearward</v>
      </c>
      <c r="I14" s="16">
        <f>ATAN(I10/I12)*180/3.14</f>
        <v>-0.50021203080826049</v>
      </c>
      <c r="J14" s="8" t="str">
        <f>IF(I10&gt;0,"Forward","Rearward")</f>
        <v>Rearward</v>
      </c>
    </row>
    <row r="15" spans="1:10" s="6" customFormat="1" ht="14.65" thickBot="1" x14ac:dyDescent="0.5">
      <c r="A15" s="20"/>
      <c r="B15" s="21" t="s">
        <v>21</v>
      </c>
      <c r="C15" s="17">
        <f>ATAN(C11/C12)*180/3.14</f>
        <v>1.7009917059434194</v>
      </c>
      <c r="D15" s="18" t="str">
        <f>IF(C11&lt;0,"Outboard","Inboard")</f>
        <v>Inboard</v>
      </c>
      <c r="F15" s="17">
        <f>ATAN(F11/F12)*180/3.14</f>
        <v>2.3012381842311092</v>
      </c>
      <c r="G15" s="18" t="str">
        <f>IF(F11&lt;0,"Outboard","Inboard")</f>
        <v>Inboard</v>
      </c>
      <c r="I15" s="17">
        <f>ATAN(I11/I12)*180/3.14</f>
        <v>2.3012448684821973</v>
      </c>
      <c r="J15" s="18" t="str">
        <f>IF(I11&lt;0,"Outboard","Inboard")</f>
        <v>Inboard</v>
      </c>
    </row>
    <row r="18" spans="1:10" x14ac:dyDescent="0.45">
      <c r="A18" s="2" t="s">
        <v>22</v>
      </c>
      <c r="B18" s="2" t="s">
        <v>16</v>
      </c>
      <c r="C18" s="9">
        <v>1431.809</v>
      </c>
      <c r="F18" s="9">
        <v>1470.1969999999999</v>
      </c>
      <c r="I18" s="9">
        <v>1470.1659999999999</v>
      </c>
    </row>
    <row r="19" spans="1:10" x14ac:dyDescent="0.45">
      <c r="C19" s="9">
        <v>-794.54899999999998</v>
      </c>
      <c r="F19" s="9">
        <v>-818.59400000000005</v>
      </c>
      <c r="I19" s="9">
        <v>-818.61400000000003</v>
      </c>
    </row>
    <row r="20" spans="1:10" x14ac:dyDescent="0.45">
      <c r="C20" s="9">
        <v>565.54</v>
      </c>
      <c r="F20" s="9">
        <v>575.46</v>
      </c>
      <c r="I20" s="9">
        <v>574.96100000000001</v>
      </c>
    </row>
    <row r="21" spans="1:10" x14ac:dyDescent="0.45">
      <c r="C21" s="11"/>
      <c r="F21" s="11"/>
      <c r="I21" s="11"/>
    </row>
    <row r="22" spans="1:10" x14ac:dyDescent="0.45">
      <c r="B22" s="2" t="s">
        <v>17</v>
      </c>
      <c r="C22" s="9">
        <v>1422.098</v>
      </c>
      <c r="F22" s="9">
        <v>1449.03</v>
      </c>
      <c r="I22" s="9">
        <v>1449.03</v>
      </c>
    </row>
    <row r="23" spans="1:10" x14ac:dyDescent="0.45">
      <c r="C23" s="9">
        <v>-813.86199999999997</v>
      </c>
      <c r="F23" s="9">
        <v>-832.52</v>
      </c>
      <c r="I23" s="9">
        <v>-832.52</v>
      </c>
    </row>
    <row r="24" spans="1:10" s="4" customFormat="1" x14ac:dyDescent="0.45">
      <c r="A24" s="15"/>
      <c r="B24" s="15"/>
      <c r="C24" s="12">
        <v>194.67</v>
      </c>
      <c r="D24" s="13"/>
      <c r="F24" s="12">
        <v>229.386</v>
      </c>
      <c r="G24" s="13"/>
      <c r="I24" s="12">
        <v>229.386</v>
      </c>
      <c r="J24" s="13"/>
    </row>
    <row r="26" spans="1:10" x14ac:dyDescent="0.45">
      <c r="B26" s="2" t="s">
        <v>19</v>
      </c>
      <c r="C26" s="11">
        <f>C18-C22</f>
        <v>9.7110000000000127</v>
      </c>
      <c r="F26" s="11">
        <f>F18-F22</f>
        <v>21.166999999999916</v>
      </c>
      <c r="I26" s="11">
        <f>I18-I22</f>
        <v>21.135999999999967</v>
      </c>
    </row>
    <row r="27" spans="1:10" x14ac:dyDescent="0.45">
      <c r="C27" s="11">
        <f t="shared" ref="C27:C28" si="3">C19-C23</f>
        <v>19.312999999999988</v>
      </c>
      <c r="F27" s="11">
        <f t="shared" ref="F27:F28" si="4">F19-F23</f>
        <v>13.925999999999931</v>
      </c>
      <c r="I27" s="11">
        <f t="shared" ref="I27:I28" si="5">I19-I23</f>
        <v>13.905999999999949</v>
      </c>
    </row>
    <row r="28" spans="1:10" x14ac:dyDescent="0.45">
      <c r="C28" s="11">
        <f t="shared" si="3"/>
        <v>370.87</v>
      </c>
      <c r="F28" s="11">
        <f t="shared" si="4"/>
        <v>346.07400000000007</v>
      </c>
      <c r="I28" s="11">
        <f t="shared" si="5"/>
        <v>345.57500000000005</v>
      </c>
    </row>
    <row r="29" spans="1:10" ht="14.65" thickBot="1" x14ac:dyDescent="0.5"/>
    <row r="30" spans="1:10" s="5" customFormat="1" x14ac:dyDescent="0.45">
      <c r="A30" s="7" t="s">
        <v>22</v>
      </c>
      <c r="B30" s="19" t="s">
        <v>20</v>
      </c>
      <c r="C30" s="16">
        <f>ATAN(C26/C28)*180/3.14</f>
        <v>1.5006723560210264</v>
      </c>
      <c r="D30" s="8" t="str">
        <f>IF(C26&gt;0,"Forward","Rearward")</f>
        <v>Forward</v>
      </c>
      <c r="F30" s="16">
        <f>ATAN(F26/F28)*180/3.14</f>
        <v>3.5018094762169545</v>
      </c>
      <c r="G30" s="8" t="str">
        <f>IF(F26&gt;0,"Forward","Rearward")</f>
        <v>Forward</v>
      </c>
      <c r="I30" s="16">
        <f>ATAN(I26/I28)*180/3.14</f>
        <v>3.5017302231624612</v>
      </c>
      <c r="J30" s="8" t="str">
        <f>IF(I26&gt;0,"Forward","Rearward")</f>
        <v>Forward</v>
      </c>
    </row>
    <row r="31" spans="1:10" s="6" customFormat="1" ht="14.65" thickBot="1" x14ac:dyDescent="0.5">
      <c r="A31" s="20"/>
      <c r="B31" s="21" t="s">
        <v>21</v>
      </c>
      <c r="C31" s="17">
        <f>ATAN(C27/C28)*180/3.14</f>
        <v>2.9824885287289029</v>
      </c>
      <c r="D31" s="18" t="str">
        <f>IF(C27&lt;0,"Outboard","Inboard")</f>
        <v>Inboard</v>
      </c>
      <c r="F31" s="17">
        <f>ATAN(F27/F28)*180/3.14</f>
        <v>2.3055047885326814</v>
      </c>
      <c r="G31" s="18" t="str">
        <f>IF(F27&lt;0,"Outboard","Inboard")</f>
        <v>Inboard</v>
      </c>
      <c r="I31" s="17">
        <f>ATAN(I27/I28)*180/3.14</f>
        <v>2.3055179936893953</v>
      </c>
      <c r="J31" s="18" t="str">
        <f>IF(I27&lt;0,"Outboard","Inboard")</f>
        <v>Inboard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2B3BE453645409CCF4EE5B1854AF1" ma:contentTypeVersion="19" ma:contentTypeDescription="Create a new document." ma:contentTypeScope="" ma:versionID="b9e96b3a145b492e90acc3dd95dbb8af">
  <xsd:schema xmlns:xsd="http://www.w3.org/2001/XMLSchema" xmlns:xs="http://www.w3.org/2001/XMLSchema" xmlns:p="http://schemas.microsoft.com/office/2006/metadata/properties" xmlns:ns2="f568297e-e333-49f2-9826-a81ae260f288" xmlns:ns3="ed2dde82-317f-4533-900a-a7fd1185fdf6" targetNamespace="http://schemas.microsoft.com/office/2006/metadata/properties" ma:root="true" ma:fieldsID="efbfc3ef0ee43617009264dc86e28fbe" ns2:_="" ns3:_="">
    <xsd:import namespace="f568297e-e333-49f2-9826-a81ae260f288"/>
    <xsd:import namespace="ed2dde82-317f-4533-900a-a7fd1185fdf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8297e-e333-49f2-9826-a81ae260f2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c0ebee0-b525-4b15-a7fe-13f3978b2a58}" ma:internalName="TaxCatchAll" ma:showField="CatchAllData" ma:web="f568297e-e333-49f2-9826-a81ae260f2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dde82-317f-4533-900a-a7fd1185f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3d10022-8ef4-49b5-87be-fba42a0ed1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8297e-e333-49f2-9826-a81ae260f288" xsi:nil="true"/>
    <lcf76f155ced4ddcb4097134ff3c332f xmlns="ed2dde82-317f-4533-900a-a7fd1185fd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C2F7D6-B632-4F5D-819A-45A7AC709D08}"/>
</file>

<file path=customXml/itemProps2.xml><?xml version="1.0" encoding="utf-8"?>
<ds:datastoreItem xmlns:ds="http://schemas.openxmlformats.org/officeDocument/2006/customXml" ds:itemID="{9F192BC9-28E6-4C1B-9802-93FAB44311BF}"/>
</file>

<file path=customXml/itemProps3.xml><?xml version="1.0" encoding="utf-8"?>
<ds:datastoreItem xmlns:ds="http://schemas.openxmlformats.org/officeDocument/2006/customXml" ds:itemID="{142F201B-91E5-4253-8D7A-29BDF3E652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250 Analysis</vt:lpstr>
      <vt:lpstr>270</vt:lpstr>
      <vt:lpstr>Nominal Hinge Tip Angles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Van Esch</dc:creator>
  <cp:lastModifiedBy>Tom Van Esch</cp:lastModifiedBy>
  <dcterms:created xsi:type="dcterms:W3CDTF">2026-03-10T10:54:17Z</dcterms:created>
  <dcterms:modified xsi:type="dcterms:W3CDTF">2026-03-20T13:31:01Z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0x01010075F2B3BE453645409CCF4EE5B1854AF1</vt:lpwstr>
  </property>
  <property fmtid="{D5CDD505-2E9C-101B-9397-08002B2CF9AE}" pid="3" name="MediaServiceImageTags">
    <vt:lpwstr/>
  </property>
</Properties>
</file>